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28"/>
  <workbookPr defaultThemeVersion="166925"/>
  <mc:AlternateContent xmlns:mc="http://schemas.openxmlformats.org/markup-compatibility/2006">
    <mc:Choice Requires="x15">
      <x15ac:absPath xmlns:x15ac="http://schemas.microsoft.com/office/spreadsheetml/2010/11/ac" url="https://exlservicenam.sharepoint.com/sites/EmergingRisk-Tool/Shared Documents/General/Resource &amp; Modifiers/"/>
    </mc:Choice>
  </mc:AlternateContent>
  <xr:revisionPtr revIDLastSave="0" documentId="8_{751EDF7D-5154-496C-884B-5D0BD6439398}" xr6:coauthVersionLast="47" xr6:coauthVersionMax="47" xr10:uidLastSave="{00000000-0000-0000-0000-000000000000}"/>
  <bookViews>
    <workbookView xWindow="-110" yWindow="-110" windowWidth="19420" windowHeight="10300" xr2:uid="{00000000-000D-0000-FFFF-FFFF00000000}"/>
  </bookViews>
  <sheets>
    <sheet name="Modifiers" sheetId="1" r:id="rId1"/>
    <sheet name="Rating Factors - CNA" sheetId="2" r:id="rId2"/>
    <sheet name="Rating Calc - Example" sheetId="3" r:id="rId3"/>
    <sheet name="Cyber Coverages" sheetId="4" r:id="rId4"/>
    <sheet name="FAQs"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9" i="3" l="1"/>
  <c r="Q19" i="3"/>
  <c r="P19" i="3"/>
  <c r="O19" i="3"/>
  <c r="N19" i="3"/>
  <c r="M19" i="3"/>
  <c r="L19" i="3"/>
  <c r="K19" i="3"/>
  <c r="J19" i="3"/>
  <c r="I19" i="3"/>
  <c r="H19" i="3"/>
  <c r="G19" i="3"/>
  <c r="F19" i="3"/>
  <c r="E19" i="3"/>
  <c r="D19" i="3"/>
  <c r="C19" i="3"/>
</calcChain>
</file>

<file path=xl/sharedStrings.xml><?xml version="1.0" encoding="utf-8"?>
<sst xmlns="http://schemas.openxmlformats.org/spreadsheetml/2006/main" count="164" uniqueCount="113">
  <si>
    <t>#</t>
  </si>
  <si>
    <t>Modifier Name</t>
  </si>
  <si>
    <t>Description</t>
  </si>
  <si>
    <t>Target Paramter</t>
  </si>
  <si>
    <t>Cyber Insurance research Needed</t>
  </si>
  <si>
    <t>Mergers and Acquisitions</t>
  </si>
  <si>
    <t>Assess risk from M&amp;A activity by analyzing deal counts, relative deal sizes, and recency of acquisitions. Scoring combines acquisition volume with revenue-tier thresholds to determine whether M&amp;A patters increase cyber exposure. 
4 points for "transformation acquisition" &gt; 50% of pre acquisition employee counts or revenue (check both if available, if not, either). 
3 points for "material acquisition" &gt; 15-50%
2 points for "minor acquisition" &gt; 1-15%
1 point for up to 1% pre acquisition employee counts or revenue( or if it's an asset only acquisition).
Recency multiplier - 2x for acq made within the past 1 year, 1.5x for acq made 1-2 years ago, 1.0x for acq made 2--5 years ago, 0.5x for acquisitions made 5-10 years afo, 0x for acq made more than 10 years ago.
If &gt;$1B revenue: 0-5 points = very favourable, 6-10 points = favourable, 11-15 points = partially favourable, 16-20 points = average, 21-30 points = partially unfavourable, 31+ points = unfavourable
If $250M - $1B: 0-3 points = very favourable, 4-6 points = favourable, 7-10 points = partially favourable, 11-15 points = average, 16-20 points = partially unfavourable, 21+ points = unfavourable
If $50M - $250M : 0-2 points = very favourable, 3-4 points = favourable, 5-7 points = partially favourable, 8-10 points = average, 11-15 points = partially unfavourable, 16+ points = unfavourable
If &lt; $50M: 0-1 points = very favourable, 2-3 points = favourable, 4-5 points = partially favourable, 6-7 points = average, 8-10 points = partially unfavourable, 11+ points = unfavourable</t>
  </si>
  <si>
    <t>Acquisition history - deal count, deal size relative to company revenue, and timing</t>
  </si>
  <si>
    <t>Search for acquisition announcements from past 10 years, deal amounts,  press releases, SEC business-combination footnotes (10K/10-Q), and deal databases. Determine revenue tier to set thresholds.</t>
  </si>
  <si>
    <t>Amount of sensitive information</t>
  </si>
  <si>
    <t>Evaluates data-sensitivity exposure by determining the company's customer type (consumer/SMB vs enterprise) and whether it operates internet-facing e-commerce platforms. A matrix of customer type x e-commerce presence drives the category. 
B2B, no ecommerce = favourable
B2B, has ecommerce = Partially favourable
B2C/B2B, no ecommerce = Average
B2C/B2B, has ecommerce = Partially Unfavourable</t>
  </si>
  <si>
    <t>Customer type (B2B vs B2C) and e-commerce sales presence.</t>
  </si>
  <si>
    <t>Web search on go-to market motion, sales channels, pricing pages, and product offerings. Distinguish B2B vc B2C based on sales motion and target market.</t>
  </si>
  <si>
    <t xml:space="preserve">Domain Encryption </t>
  </si>
  <si>
    <t>Evaluates security posture by discovering all company-owned domains and testing whether they support HTTPS encryption. Categories depend on whether all, only the main domain or none of the domain support HTTPS encryption.
All domains encrypted = favourable
main domain + some secondary domain encrypted = partially favourable
no domain encrypted = Average</t>
  </si>
  <si>
    <t>HTTPS encryption coverage across the company's domain portfolios.</t>
  </si>
  <si>
    <t>Web search for domain discovery(brands, subsidiaries, regional variants, product domains). Programmatic HTTPS probing of discovered domains.</t>
  </si>
  <si>
    <t>Geographic Spread</t>
  </si>
  <si>
    <t xml:space="preserve">Evaluates geographic concentration risk by counting countries of operation and assessing continent concentration. Larger revenue companies can operate in more countries before triggering unfavourable ratings. USA presence provieds a bonus.
If revenue &gt;$1B- if operations (offices, employees, or divisions) in 10 or fewer countries all on the same continent, apply fav, if ops in 10 or fewer countries(regardless if continent) apply partially fav mod, else apply average mod.
If revenue $250M - $1B - if operations (offices, employees, or divisions) in 5 or fewer countries all on the same continent, apply fav, if ops in 7 or fewer countries, apply partially fav mod, else apply average mod.
If revenue  $50M - $250M: if operations (offices, employees, or divisions) in 3 or fewer countries all on the same continent, apply fav, if ops in 5 or fewer countries(regardless if continent) apply partially fav mod, else apply average mod.
If revenue &lt; $50M- if operations (offices, employees, or divisions) in 2 or fewer countries all on the same continent, apply fav, if ops in 10 or fewer countries(regardless if continent) apply partially fav mod, else apply average mod.
</t>
  </si>
  <si>
    <t>Geographic concentration - number of countries, continent spread, USA operations presence.</t>
  </si>
  <si>
    <t>Web search and domain scraping for office locations, subsidiaries,, regional operations, employee presense, and international divisions. Identify all countries with actual operations (offices, employees, legal entities.)</t>
  </si>
  <si>
    <t>Internet footprint</t>
  </si>
  <si>
    <t>Evaluates cyber exposure from accessible domain footprint multiplied by estimated customer/user scale. Scoring = accessible domain count x customer base multiplier. Multiplier depends on customer scale bucket.</t>
  </si>
  <si>
    <t xml:space="preserve">Internet exposure - domain count and direct external customer/user base size. </t>
  </si>
  <si>
    <t>Domain discovery research (brands, subsidiaries, regional sites, products) Customer unit classification and scale estimation from company domain, investor relations, earnings calls and disclosed active user/customer.</t>
  </si>
  <si>
    <t>Nature of services</t>
  </si>
  <si>
    <t xml:space="preserve">Evaluates the product/service portfolio by extracting offerings, mapping them to cyber sub industries via a reference table and weighting by worst-appetite across high-confidence matches. Multiplier applied based on sub-industry appetite level. </t>
  </si>
  <si>
    <t>Product/service offerings and cyber sub industry classification.</t>
  </si>
  <si>
    <t xml:space="preserve">Web scraping and seach for products/services description, SIC/NAICS codes, D&amp;B industry classification and mapping to reference Excel table with sub-industry appetite. </t>
  </si>
  <si>
    <t>Organizational Complexity</t>
  </si>
  <si>
    <t xml:space="preserve">Evaluates organization structure complexity by counting total subsidiaries and compairing against revenue-tier thresholds. More subsidiaries increase cyber surface complexity. Revenue tier determines acceptable subsidiary count ranges.
Revenue &gt;= $1B: Less than 10 subsidiaries=very favourable, 11-20 subs=favourable, 21-50 subs = average, 51+ = partially unfav
Revenue &gt;= $250M - $1B: Less than 7 subsidiaries=very favourable, 8-15 subs=favourable, 16-30 subs = average, 31+ = partially unfav
Revenue &gt;= $50M - $250M: Less than 5 subsidiaries=very favourable, 6-10 subs=favourable, 11-15 subs = average, 16+ = partially unfav
Revenue &gt;= &lt;50M: Less than 3 subsidiaries=very favourable, 4-6 subs=favourable, 7-10 subs = average, 11+ = partially unfav
</t>
  </si>
  <si>
    <t>Subsidiary count and organizational hierarchy complexity.</t>
  </si>
  <si>
    <t>Web search for SEC exhibit 21 (subsidiary lists), annual reports, corporate registeries, wikipedia company group pages, and crunchbase. Count ALL legal entity subsidiaries (not offices/branches)</t>
  </si>
  <si>
    <t>Privacy Regulation</t>
  </si>
  <si>
    <t>Evaluates privacy posture from two factors (1) whether the company has a published privacy policy and (2) whether the website mentions compliance with specific national, regional, state frameworks (GDPR, CCPA, HIPAA, SOC2, ISO, etc.) A matrix combines both criteria</t>
  </si>
  <si>
    <t>Privacy/complaince maturity - policy existence and regulation compliance mentions</t>
  </si>
  <si>
    <t>Web search and domain scraping for privacy policy links, footer/navigation privacy mentions, compliance certification, privacy web page, data subjects right information, DPO contract info, and security badges.</t>
  </si>
  <si>
    <t>Seasonality of sales</t>
  </si>
  <si>
    <t>Evaluates revenue volatility risk by computing coefficient of variation of quarterly revenues when SEC data/annual reports/investors relations is available. If not, falls back to industry SIC code benchmarks for expected seasonality level.</t>
  </si>
  <si>
    <t>Revenue/sales seasonality - CV of quarterly revenue or industry benchmark.</t>
  </si>
  <si>
    <t>SEC quarterly filings for revenue extraction, industry SIC codes for industry benchmarks, web search for business model narrative supporting seasonality level.</t>
  </si>
  <si>
    <t>Volatility/Recovery in Sales</t>
  </si>
  <si>
    <t xml:space="preserve">Evaluates sales disruption resilience through three cyber specific dimensions: digital revenue exposure, disruption, velocity, and recovery complexity. Each scored 1-5. Primary industry baseline anchors scores with evidence based adjustments. </t>
  </si>
  <si>
    <t>Three cyber risk dimensrions - digital exposure, disruption speed, recovery complexity.</t>
  </si>
  <si>
    <t xml:space="preserve">Web search for digital sales channels </t>
  </si>
  <si>
    <t>Applicability of privacy regulation</t>
  </si>
  <si>
    <t>Determines privacy regulation applicability using industry classification (SIC codes) and customer mix (B2B vs B2C) 
If client is not in IT, Healthcare or Financial industries and is solely B2B (not B2C) then apply fav mod
If client is not in IT, Healthcare or Financial industries and is predominantly B2B (not B2C) then apply partially fav mod</t>
  </si>
  <si>
    <t xml:space="preserve">Industry classification (SIC) and customer mix (B2B vs B2C) </t>
  </si>
  <si>
    <t>Industry codes lookups via SEC filings, web search, company products/services, ecommerce signals, D&amp;B, regulatory filings.</t>
  </si>
  <si>
    <t>B2C end products</t>
  </si>
  <si>
    <t>Evaluates customer concentration by assessing whether the company predominantly sells to consumers/SMB, large enterprises or a balanced mix. Three signals (customer profile, marketing approach, product design) determine the dominant segment.
If client predominantly sells to consumers or small business, apply a fav mod
If client sells to a mix of costumers of all types and sizes, apply a partially fav mod
If client predominantly sells to large enterprise sutomers, apply average mod</t>
  </si>
  <si>
    <t>Research customer descriptions, pricing tiers, sales channels, product offering tiers, market positioning, and customer size categories mentioned in marketing</t>
  </si>
  <si>
    <t>web search customer description, pricing tiers, market signals, customer profiles</t>
  </si>
  <si>
    <t>Years in business</t>
  </si>
  <si>
    <t>Evaluates operational maturity by determining founding year and calculating years in business. Applies disambiguation rules (holding company, acquisition/merger, rebranding, spin-off) to identify the earliest predecessor. 
If &gt;$1B and yib &gt; 30, apply very fav mod; if yib = 20-29, apply fav mod; if yib=10-19, apply partially fav mod; if yib=5-9, apply average mod, if yib=0-4, apply unfav mod
If &gt;$250M - $1B and yib &gt; 20, apply very fav mod; if yib = 10-19, apply fav mod; if yib=5-9, apply partially fav mod; if yib=3-4, apply average mod, if yib=0-2, apply unfav mod
If &gt;$50M - $250M and yib &gt; 10, apply very fav mod; if yib = 7-9, apply fav mod; if yib=4-6, apply partially fav mod; if yib=2-3, apply average mod, if yib=0-1, apply unfav mod
If &lt; $50M and yib &gt; 7, apply very fav mod; if yib = 5-6, apply fav mod; if yib=3-4, apply partially fav mod; if yib=1-2, apply average mod, if yib=&lt;1, apply unfav mod</t>
  </si>
  <si>
    <t>Notes</t>
  </si>
  <si>
    <t>Min and Max Modifier factor  varies by ranges applicable in State</t>
  </si>
  <si>
    <t>Cyber Objective Modifiers  (LM)</t>
  </si>
  <si>
    <t>Allowed Range</t>
  </si>
  <si>
    <t xml:space="preserve">Selection </t>
  </si>
  <si>
    <t>Warning Notes</t>
  </si>
  <si>
    <t>Cyber Coverages</t>
  </si>
  <si>
    <t>Objective Modifiers</t>
  </si>
  <si>
    <t>-5% to +5%</t>
  </si>
  <si>
    <t>Network Security and Privacy</t>
  </si>
  <si>
    <t>Privacy regulation Proceeding</t>
  </si>
  <si>
    <t>PCI DSS Liability Loss</t>
  </si>
  <si>
    <t>Privacy Event response</t>
  </si>
  <si>
    <t>Extortion</t>
  </si>
  <si>
    <t>Cyber Crime - electronic theft loss</t>
  </si>
  <si>
    <t>Cyber Crime - social engineering loss</t>
  </si>
  <si>
    <t>Cyber Crime - telephone fraud loss</t>
  </si>
  <si>
    <t>Cyber Crime - invoive manipulation loss</t>
  </si>
  <si>
    <t>Data restoration costs</t>
  </si>
  <si>
    <t>Network restoration costs</t>
  </si>
  <si>
    <t>BI and Network failure - BI</t>
  </si>
  <si>
    <t>BI and Network failure - Dependent BI</t>
  </si>
  <si>
    <t>Reputational Harm loss</t>
  </si>
  <si>
    <t>Personal and Human Resource Security</t>
  </si>
  <si>
    <t>CNA Modifier</t>
  </si>
  <si>
    <t>Forensic Account costs</t>
  </si>
  <si>
    <t>Business Continuity/Disaster recovery Management</t>
  </si>
  <si>
    <t>TRIA</t>
  </si>
  <si>
    <t>Security Procedures and Risk Assessments</t>
  </si>
  <si>
    <t>Audit and Compliance</t>
  </si>
  <si>
    <t>Incidence Response and Reporting</t>
  </si>
  <si>
    <t>Information Security Policy and Standards</t>
  </si>
  <si>
    <t>Operational Security</t>
  </si>
  <si>
    <t>Physcial Security</t>
  </si>
  <si>
    <t>Email Security</t>
  </si>
  <si>
    <t>Vulnerability Management</t>
  </si>
  <si>
    <t>Network Access</t>
  </si>
  <si>
    <t>Base</t>
  </si>
  <si>
    <t>Multiplicative Factor 1</t>
  </si>
  <si>
    <t>Multiplicative Factor 2</t>
  </si>
  <si>
    <t>Multiplicative Factor 3</t>
  </si>
  <si>
    <t>Multiplicative Factor 4</t>
  </si>
  <si>
    <t>Multiplicative Factor 5</t>
  </si>
  <si>
    <t>Multiplicative Factor 6</t>
  </si>
  <si>
    <t>Multiplicative Factor 7</t>
  </si>
  <si>
    <t>Multiplicative Factor 8</t>
  </si>
  <si>
    <t>Multiplicative Factor 9</t>
  </si>
  <si>
    <t>Multiplicative Factor 10</t>
  </si>
  <si>
    <t>Tech Premium before Cyber Mod</t>
  </si>
  <si>
    <t>Cyber Rating Mod</t>
  </si>
  <si>
    <t>Tech Premium after Cyber Mod</t>
  </si>
  <si>
    <t>Total Tech Premium after Cyber Mod</t>
  </si>
  <si>
    <t>What modifers are used?</t>
  </si>
  <si>
    <t>What is the techstack used? Which location is it developed for?</t>
  </si>
  <si>
    <t>What/How many modifiers?</t>
  </si>
  <si>
    <t>Brief description of rules?</t>
  </si>
  <si>
    <t>How AI Agents get the information?</t>
  </si>
  <si>
    <t>How the information is converted into the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</si>
</sst>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rgb="FF000000"/>
      <name val="Calibri"/>
    </font>
    <font>
      <b/>
      <sz val="11"/>
      <color rgb="FF000000"/>
      <name val="Calibri"/>
    </font>
    <font>
      <sz val="11"/>
      <color rgb="FF0000FF"/>
      <name val="Calibri"/>
    </font>
    <font>
      <b/>
      <u/>
      <sz val="11"/>
      <color rgb="FF000000"/>
      <name val="Calibri"/>
    </font>
  </fonts>
  <fills count="3">
    <fill>
      <patternFill patternType="none"/>
    </fill>
    <fill>
      <patternFill patternType="gray125"/>
    </fill>
    <fill>
      <patternFill patternType="solid">
        <fgColor rgb="FFFFF2CC"/>
        <bgColor rgb="FF000000"/>
      </patternFill>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horizontal="center" vertical="top" wrapText="1"/>
    </xf>
    <xf numFmtId="0" fontId="1" fillId="0" borderId="0" xfId="0" applyFont="1"/>
    <xf numFmtId="0" fontId="1" fillId="0" borderId="0" xfId="0" quotePrefix="1" applyFont="1"/>
    <xf numFmtId="0" fontId="2" fillId="0" borderId="0" xfId="0" applyFont="1"/>
    <xf numFmtId="0" fontId="3" fillId="2" borderId="0" xfId="0" applyFont="1" applyFill="1"/>
    <xf numFmtId="0" fontId="4" fillId="0" borderId="0" xfId="0" applyFont="1"/>
    <xf numFmtId="0" fontId="1" fillId="0" borderId="0" xfId="0" applyFont="1" applyAlignment="1">
      <alignment wrapText="1"/>
    </xf>
    <xf numFmtId="0" fontId="2" fillId="0" borderId="0" xfId="0" applyFont="1" applyAlignment="1">
      <alignment wrapText="1"/>
    </xf>
    <xf numFmtId="0" fontId="2" fillId="2" borderId="0" xfId="0" applyFont="1" applyFill="1"/>
    <xf numFmtId="0" fontId="1" fillId="2" borderId="0" xfId="0" applyFont="1" applyFill="1"/>
    <xf numFmtId="3" fontId="1" fillId="2" borderId="0" xfId="0" applyNumberFormat="1" applyFont="1" applyFill="1"/>
    <xf numFmtId="1" fontId="1" fillId="2" borderId="0" xfId="0" applyNumberFormat="1" applyFont="1" applyFill="1"/>
    <xf numFmtId="0" fontId="1" fillId="0" borderId="0" xfId="0" applyFont="1"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
  <sheetViews>
    <sheetView tabSelected="1" topLeftCell="A8" workbookViewId="0">
      <selection activeCell="E14" sqref="E14"/>
    </sheetView>
  </sheetViews>
  <sheetFormatPr defaultColWidth="9.140625" defaultRowHeight="14.45"/>
  <cols>
    <col min="1" max="1" width="9.140625" style="1"/>
    <col min="2" max="2" width="31" style="1" customWidth="1"/>
    <col min="3" max="3" width="67.42578125" style="1" customWidth="1"/>
    <col min="4" max="4" width="34.42578125" style="1" customWidth="1"/>
    <col min="5" max="5" width="44.85546875" style="1" customWidth="1"/>
    <col min="6" max="16384" width="9.140625" style="1"/>
  </cols>
  <sheetData>
    <row r="1" spans="1:5" ht="24.75" customHeight="1">
      <c r="A1" s="1" t="s">
        <v>0</v>
      </c>
      <c r="B1" s="1" t="s">
        <v>1</v>
      </c>
      <c r="C1" s="1" t="s">
        <v>2</v>
      </c>
      <c r="D1" s="1" t="s">
        <v>3</v>
      </c>
      <c r="E1" s="1" t="s">
        <v>4</v>
      </c>
    </row>
    <row r="2" spans="1:5" ht="377.1">
      <c r="A2" s="1">
        <v>1</v>
      </c>
      <c r="B2" s="1" t="s">
        <v>5</v>
      </c>
      <c r="C2" s="1" t="s">
        <v>6</v>
      </c>
      <c r="D2" s="1" t="s">
        <v>7</v>
      </c>
      <c r="E2" s="1" t="s">
        <v>8</v>
      </c>
    </row>
    <row r="3" spans="1:5" ht="116.1">
      <c r="A3" s="1">
        <v>2</v>
      </c>
      <c r="B3" s="1" t="s">
        <v>9</v>
      </c>
      <c r="C3" s="1" t="s">
        <v>10</v>
      </c>
      <c r="D3" s="1" t="s">
        <v>11</v>
      </c>
      <c r="E3" s="1" t="s">
        <v>12</v>
      </c>
    </row>
    <row r="4" spans="1:5" ht="101.45">
      <c r="A4" s="1">
        <v>3</v>
      </c>
      <c r="B4" s="1" t="s">
        <v>13</v>
      </c>
      <c r="C4" s="1" t="s">
        <v>14</v>
      </c>
      <c r="D4" s="1" t="s">
        <v>15</v>
      </c>
      <c r="E4" s="1" t="s">
        <v>16</v>
      </c>
    </row>
    <row r="5" spans="1:5" ht="304.5">
      <c r="A5" s="1">
        <v>4</v>
      </c>
      <c r="B5" s="1" t="s">
        <v>17</v>
      </c>
      <c r="C5" s="1" t="s">
        <v>18</v>
      </c>
      <c r="D5" s="1" t="s">
        <v>19</v>
      </c>
      <c r="E5" s="1" t="s">
        <v>20</v>
      </c>
    </row>
    <row r="6" spans="1:5" ht="72.599999999999994">
      <c r="A6" s="1">
        <v>5</v>
      </c>
      <c r="B6" s="1" t="s">
        <v>21</v>
      </c>
      <c r="C6" s="1" t="s">
        <v>22</v>
      </c>
      <c r="D6" s="1" t="s">
        <v>23</v>
      </c>
      <c r="E6" s="1" t="s">
        <v>24</v>
      </c>
    </row>
    <row r="7" spans="1:5" ht="57.95">
      <c r="A7" s="1">
        <v>6</v>
      </c>
      <c r="B7" s="1" t="s">
        <v>25</v>
      </c>
      <c r="C7" s="1" t="s">
        <v>26</v>
      </c>
      <c r="D7" s="1" t="s">
        <v>27</v>
      </c>
      <c r="E7" s="1" t="s">
        <v>28</v>
      </c>
    </row>
    <row r="8" spans="1:5" ht="188.45">
      <c r="A8" s="1">
        <v>7</v>
      </c>
      <c r="B8" s="1" t="s">
        <v>29</v>
      </c>
      <c r="C8" s="1" t="s">
        <v>30</v>
      </c>
      <c r="D8" s="1" t="s">
        <v>31</v>
      </c>
      <c r="E8" s="1" t="s">
        <v>32</v>
      </c>
    </row>
    <row r="9" spans="1:5" ht="72.599999999999994">
      <c r="A9" s="1">
        <v>8</v>
      </c>
      <c r="B9" s="1" t="s">
        <v>33</v>
      </c>
      <c r="C9" s="1" t="s">
        <v>34</v>
      </c>
      <c r="D9" s="1" t="s">
        <v>35</v>
      </c>
      <c r="E9" s="1" t="s">
        <v>36</v>
      </c>
    </row>
    <row r="10" spans="1:5" ht="57.95">
      <c r="A10" s="1">
        <v>9</v>
      </c>
      <c r="B10" s="1" t="s">
        <v>37</v>
      </c>
      <c r="C10" s="1" t="s">
        <v>38</v>
      </c>
      <c r="D10" s="1" t="s">
        <v>39</v>
      </c>
      <c r="E10" s="1" t="s">
        <v>40</v>
      </c>
    </row>
    <row r="11" spans="1:5" ht="57.95">
      <c r="A11" s="1">
        <v>10</v>
      </c>
      <c r="B11" s="1" t="s">
        <v>41</v>
      </c>
      <c r="C11" s="1" t="s">
        <v>42</v>
      </c>
      <c r="D11" s="1" t="s">
        <v>43</v>
      </c>
      <c r="E11" s="1" t="s">
        <v>44</v>
      </c>
    </row>
    <row r="12" spans="1:5" ht="91.5">
      <c r="A12" s="1">
        <v>11</v>
      </c>
      <c r="B12" s="1" t="s">
        <v>45</v>
      </c>
      <c r="C12" s="1" t="s">
        <v>46</v>
      </c>
      <c r="D12" s="1" t="s">
        <v>47</v>
      </c>
      <c r="E12" s="1" t="s">
        <v>48</v>
      </c>
    </row>
    <row r="13" spans="1:5" ht="121.5">
      <c r="A13" s="1">
        <v>12</v>
      </c>
      <c r="B13" s="1" t="s">
        <v>49</v>
      </c>
      <c r="C13" s="1" t="s">
        <v>50</v>
      </c>
      <c r="D13" s="1" t="s">
        <v>51</v>
      </c>
      <c r="E13" s="1" t="s">
        <v>52</v>
      </c>
    </row>
    <row r="14" spans="1:5" ht="229.5">
      <c r="A14" s="1">
        <v>13</v>
      </c>
      <c r="B14" s="1" t="s">
        <v>53</v>
      </c>
      <c r="C14" s="1" t="s">
        <v>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8B76A-997C-4662-8A8D-71ACA5013A1D}">
  <dimension ref="A1:H30"/>
  <sheetViews>
    <sheetView topLeftCell="A6" zoomScale="87" workbookViewId="0">
      <selection activeCell="H6" sqref="H6:H21"/>
    </sheetView>
  </sheetViews>
  <sheetFormatPr defaultRowHeight="14.45"/>
  <cols>
    <col min="1" max="1" width="2.85546875" bestFit="1" customWidth="1"/>
    <col min="2" max="2" width="55.5703125" bestFit="1" customWidth="1"/>
    <col min="3" max="3" width="13.140625" bestFit="1" customWidth="1"/>
    <col min="4" max="4" width="8.85546875" bestFit="1" customWidth="1"/>
    <col min="5" max="5" width="13.42578125" bestFit="1" customWidth="1"/>
    <col min="7" max="7" width="34.140625" bestFit="1" customWidth="1"/>
    <col min="8" max="8" width="17.42578125" bestFit="1" customWidth="1"/>
  </cols>
  <sheetData>
    <row r="1" spans="1:8">
      <c r="A1" s="2"/>
      <c r="B1" s="2"/>
      <c r="C1" s="2"/>
      <c r="D1" s="2"/>
      <c r="E1" s="2"/>
      <c r="F1" s="2"/>
      <c r="G1" s="2"/>
      <c r="H1" s="2"/>
    </row>
    <row r="2" spans="1:8">
      <c r="A2" s="2"/>
      <c r="B2" s="4" t="s">
        <v>55</v>
      </c>
      <c r="C2" s="2"/>
      <c r="D2" s="2"/>
      <c r="E2" s="2"/>
      <c r="F2" s="2"/>
      <c r="G2" s="2"/>
      <c r="H2" s="2"/>
    </row>
    <row r="3" spans="1:8">
      <c r="A3" s="2"/>
      <c r="B3" s="2" t="s">
        <v>56</v>
      </c>
      <c r="C3" s="2"/>
      <c r="D3" s="2"/>
      <c r="E3" s="2"/>
      <c r="F3" s="2"/>
      <c r="G3" s="2"/>
      <c r="H3" s="5">
        <v>0.92</v>
      </c>
    </row>
    <row r="4" spans="1:8">
      <c r="A4" s="2"/>
      <c r="B4" s="2"/>
      <c r="C4" s="2"/>
      <c r="D4" s="2"/>
      <c r="E4" s="2"/>
      <c r="F4" s="2"/>
      <c r="G4" s="2"/>
      <c r="H4" s="2"/>
    </row>
    <row r="5" spans="1:8">
      <c r="A5" s="2"/>
      <c r="B5" s="6" t="s">
        <v>57</v>
      </c>
      <c r="C5" s="6" t="s">
        <v>58</v>
      </c>
      <c r="D5" s="6" t="s">
        <v>59</v>
      </c>
      <c r="E5" s="6" t="s">
        <v>60</v>
      </c>
      <c r="F5" s="2"/>
      <c r="G5" s="6" t="s">
        <v>61</v>
      </c>
      <c r="H5" s="6" t="s">
        <v>62</v>
      </c>
    </row>
    <row r="6" spans="1:8">
      <c r="A6" s="2">
        <v>1</v>
      </c>
      <c r="B6" s="2" t="s">
        <v>5</v>
      </c>
      <c r="C6" s="3" t="s">
        <v>63</v>
      </c>
      <c r="D6" s="5">
        <v>0</v>
      </c>
      <c r="E6" s="2"/>
      <c r="F6" s="2"/>
      <c r="G6" s="2" t="s">
        <v>64</v>
      </c>
      <c r="H6" s="5">
        <v>0.92</v>
      </c>
    </row>
    <row r="7" spans="1:8">
      <c r="A7" s="2">
        <v>2</v>
      </c>
      <c r="B7" s="2" t="s">
        <v>9</v>
      </c>
      <c r="C7" s="3" t="s">
        <v>63</v>
      </c>
      <c r="D7" s="5">
        <v>0</v>
      </c>
      <c r="E7" s="2"/>
      <c r="F7" s="2"/>
      <c r="G7" s="2" t="s">
        <v>65</v>
      </c>
      <c r="H7" s="5">
        <v>0.92</v>
      </c>
    </row>
    <row r="8" spans="1:8">
      <c r="A8" s="2">
        <v>3</v>
      </c>
      <c r="B8" s="2" t="s">
        <v>13</v>
      </c>
      <c r="C8" s="3" t="s">
        <v>63</v>
      </c>
      <c r="D8" s="5">
        <v>0</v>
      </c>
      <c r="E8" s="2"/>
      <c r="F8" s="2"/>
      <c r="G8" s="2" t="s">
        <v>66</v>
      </c>
      <c r="H8" s="5">
        <v>0.92</v>
      </c>
    </row>
    <row r="9" spans="1:8">
      <c r="A9" s="2">
        <v>4</v>
      </c>
      <c r="B9" s="2" t="s">
        <v>17</v>
      </c>
      <c r="C9" s="3" t="s">
        <v>63</v>
      </c>
      <c r="D9" s="5">
        <v>0</v>
      </c>
      <c r="E9" s="2"/>
      <c r="F9" s="2"/>
      <c r="G9" s="2" t="s">
        <v>67</v>
      </c>
      <c r="H9" s="5">
        <v>0.92</v>
      </c>
    </row>
    <row r="10" spans="1:8">
      <c r="A10" s="2">
        <v>5</v>
      </c>
      <c r="B10" s="2" t="s">
        <v>21</v>
      </c>
      <c r="C10" s="3" t="s">
        <v>63</v>
      </c>
      <c r="D10" s="5">
        <v>0</v>
      </c>
      <c r="E10" s="2"/>
      <c r="F10" s="2"/>
      <c r="G10" s="2" t="s">
        <v>68</v>
      </c>
      <c r="H10" s="5">
        <v>0.92</v>
      </c>
    </row>
    <row r="11" spans="1:8">
      <c r="A11" s="2">
        <v>6</v>
      </c>
      <c r="B11" s="2" t="s">
        <v>25</v>
      </c>
      <c r="C11" s="3" t="s">
        <v>63</v>
      </c>
      <c r="D11" s="5">
        <v>0</v>
      </c>
      <c r="E11" s="2"/>
      <c r="F11" s="2"/>
      <c r="G11" s="2" t="s">
        <v>69</v>
      </c>
      <c r="H11" s="5">
        <v>0.92</v>
      </c>
    </row>
    <row r="12" spans="1:8">
      <c r="A12" s="2">
        <v>7</v>
      </c>
      <c r="B12" s="2" t="s">
        <v>29</v>
      </c>
      <c r="C12" s="3" t="s">
        <v>63</v>
      </c>
      <c r="D12" s="5">
        <v>0</v>
      </c>
      <c r="E12" s="2"/>
      <c r="F12" s="2"/>
      <c r="G12" s="2" t="s">
        <v>70</v>
      </c>
      <c r="H12" s="5">
        <v>0.92</v>
      </c>
    </row>
    <row r="13" spans="1:8">
      <c r="A13" s="2">
        <v>8</v>
      </c>
      <c r="B13" s="2" t="s">
        <v>33</v>
      </c>
      <c r="C13" s="3" t="s">
        <v>63</v>
      </c>
      <c r="D13" s="5">
        <v>0</v>
      </c>
      <c r="E13" s="2"/>
      <c r="F13" s="2"/>
      <c r="G13" s="2" t="s">
        <v>71</v>
      </c>
      <c r="H13" s="5">
        <v>0.92</v>
      </c>
    </row>
    <row r="14" spans="1:8">
      <c r="A14" s="2">
        <v>9</v>
      </c>
      <c r="B14" s="2" t="s">
        <v>37</v>
      </c>
      <c r="C14" s="3" t="s">
        <v>63</v>
      </c>
      <c r="D14" s="5">
        <v>0</v>
      </c>
      <c r="E14" s="2"/>
      <c r="F14" s="2"/>
      <c r="G14" s="2" t="s">
        <v>72</v>
      </c>
      <c r="H14" s="5">
        <v>0.92</v>
      </c>
    </row>
    <row r="15" spans="1:8">
      <c r="A15" s="2">
        <v>10</v>
      </c>
      <c r="B15" s="2" t="s">
        <v>41</v>
      </c>
      <c r="C15" s="3" t="s">
        <v>63</v>
      </c>
      <c r="D15" s="5">
        <v>0</v>
      </c>
      <c r="E15" s="2"/>
      <c r="F15" s="2"/>
      <c r="G15" s="2" t="s">
        <v>73</v>
      </c>
      <c r="H15" s="5">
        <v>0.92</v>
      </c>
    </row>
    <row r="16" spans="1:8">
      <c r="A16" s="2">
        <v>11</v>
      </c>
      <c r="B16" s="2" t="s">
        <v>45</v>
      </c>
      <c r="C16" s="3" t="s">
        <v>63</v>
      </c>
      <c r="D16" s="5">
        <v>0</v>
      </c>
      <c r="E16" s="2"/>
      <c r="F16" s="2"/>
      <c r="G16" s="2" t="s">
        <v>74</v>
      </c>
      <c r="H16" s="5">
        <v>0.92</v>
      </c>
    </row>
    <row r="17" spans="1:8">
      <c r="A17" s="2">
        <v>12</v>
      </c>
      <c r="B17" s="2" t="s">
        <v>49</v>
      </c>
      <c r="C17" s="3" t="s">
        <v>63</v>
      </c>
      <c r="D17" s="5">
        <v>-0.03</v>
      </c>
      <c r="E17" s="2"/>
      <c r="F17" s="2"/>
      <c r="G17" s="2" t="s">
        <v>75</v>
      </c>
      <c r="H17" s="5">
        <v>1</v>
      </c>
    </row>
    <row r="18" spans="1:8">
      <c r="A18" s="2">
        <v>13</v>
      </c>
      <c r="B18" s="2" t="s">
        <v>53</v>
      </c>
      <c r="C18" s="3" t="s">
        <v>63</v>
      </c>
      <c r="D18" s="5">
        <v>-0.05</v>
      </c>
      <c r="E18" s="2"/>
      <c r="F18" s="2"/>
      <c r="G18" s="2" t="s">
        <v>76</v>
      </c>
      <c r="H18" s="5">
        <v>1</v>
      </c>
    </row>
    <row r="19" spans="1:8">
      <c r="A19" s="2"/>
      <c r="B19" s="2"/>
      <c r="C19" s="2"/>
      <c r="D19" s="2"/>
      <c r="E19" s="2"/>
      <c r="F19" s="2"/>
      <c r="G19" s="2" t="s">
        <v>77</v>
      </c>
      <c r="H19" s="5">
        <v>1</v>
      </c>
    </row>
    <row r="20" spans="1:8">
      <c r="A20" s="2"/>
      <c r="B20" s="2" t="s">
        <v>78</v>
      </c>
      <c r="C20" s="2" t="s">
        <v>79</v>
      </c>
      <c r="D20" s="2"/>
      <c r="E20" s="2"/>
      <c r="F20" s="2"/>
      <c r="G20" s="2" t="s">
        <v>80</v>
      </c>
      <c r="H20" s="5">
        <v>1</v>
      </c>
    </row>
    <row r="21" spans="1:8">
      <c r="A21" s="2"/>
      <c r="B21" s="2" t="s">
        <v>81</v>
      </c>
      <c r="C21" s="2" t="s">
        <v>79</v>
      </c>
      <c r="D21" s="2"/>
      <c r="E21" s="2"/>
      <c r="F21" s="2"/>
      <c r="G21" s="2" t="s">
        <v>82</v>
      </c>
      <c r="H21" s="5">
        <v>1</v>
      </c>
    </row>
    <row r="22" spans="1:8">
      <c r="A22" s="2"/>
      <c r="B22" s="2" t="s">
        <v>83</v>
      </c>
      <c r="C22" s="2" t="s">
        <v>79</v>
      </c>
      <c r="D22" s="2"/>
      <c r="E22" s="2"/>
      <c r="F22" s="2"/>
      <c r="G22" s="2"/>
      <c r="H22" s="2"/>
    </row>
    <row r="23" spans="1:8">
      <c r="A23" s="2"/>
      <c r="B23" s="2" t="s">
        <v>84</v>
      </c>
      <c r="C23" s="2" t="s">
        <v>79</v>
      </c>
      <c r="D23" s="2"/>
      <c r="E23" s="2"/>
      <c r="F23" s="2"/>
      <c r="G23" s="2"/>
      <c r="H23" s="2"/>
    </row>
    <row r="24" spans="1:8">
      <c r="A24" s="2"/>
      <c r="B24" s="2" t="s">
        <v>85</v>
      </c>
      <c r="C24" s="2" t="s">
        <v>79</v>
      </c>
      <c r="D24" s="2"/>
      <c r="E24" s="2"/>
      <c r="F24" s="2"/>
      <c r="G24" s="2"/>
      <c r="H24" s="2"/>
    </row>
    <row r="25" spans="1:8">
      <c r="A25" s="2"/>
      <c r="B25" s="2" t="s">
        <v>86</v>
      </c>
      <c r="C25" s="2" t="s">
        <v>79</v>
      </c>
      <c r="D25" s="2"/>
      <c r="E25" s="2"/>
      <c r="F25" s="2"/>
      <c r="G25" s="2"/>
      <c r="H25" s="2"/>
    </row>
    <row r="26" spans="1:8">
      <c r="A26" s="2"/>
      <c r="B26" s="2" t="s">
        <v>87</v>
      </c>
      <c r="C26" s="2" t="s">
        <v>79</v>
      </c>
      <c r="D26" s="2"/>
      <c r="E26" s="2"/>
      <c r="F26" s="2"/>
      <c r="G26" s="2"/>
      <c r="H26" s="2"/>
    </row>
    <row r="27" spans="1:8">
      <c r="A27" s="2"/>
      <c r="B27" s="2" t="s">
        <v>88</v>
      </c>
      <c r="C27" s="2" t="s">
        <v>79</v>
      </c>
      <c r="D27" s="2"/>
      <c r="E27" s="2"/>
      <c r="F27" s="2"/>
      <c r="G27" s="2"/>
      <c r="H27" s="2"/>
    </row>
    <row r="28" spans="1:8">
      <c r="A28" s="2"/>
      <c r="B28" s="2" t="s">
        <v>89</v>
      </c>
      <c r="C28" s="2" t="s">
        <v>79</v>
      </c>
      <c r="D28" s="2"/>
      <c r="E28" s="2"/>
      <c r="F28" s="2"/>
      <c r="G28" s="2"/>
      <c r="H28" s="2"/>
    </row>
    <row r="29" spans="1:8">
      <c r="A29" s="2"/>
      <c r="B29" s="2" t="s">
        <v>90</v>
      </c>
      <c r="C29" s="2" t="s">
        <v>79</v>
      </c>
      <c r="D29" s="2"/>
      <c r="E29" s="2"/>
      <c r="F29" s="2"/>
      <c r="G29" s="2"/>
      <c r="H29" s="2"/>
    </row>
    <row r="30" spans="1:8">
      <c r="A30" s="2"/>
      <c r="B30" s="2" t="s">
        <v>91</v>
      </c>
      <c r="C30" s="2" t="s">
        <v>79</v>
      </c>
      <c r="D30" s="2"/>
      <c r="E30" s="2"/>
      <c r="F30" s="2"/>
      <c r="G30" s="2"/>
      <c r="H30"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A7941-D81D-4325-AAFD-080BA612CC4E}">
  <dimension ref="A1:R24"/>
  <sheetViews>
    <sheetView topLeftCell="A2" zoomScale="78" workbookViewId="0">
      <selection activeCell="C24" sqref="C24"/>
    </sheetView>
  </sheetViews>
  <sheetFormatPr defaultRowHeight="14.45"/>
  <cols>
    <col min="2" max="2" width="37.5703125" customWidth="1"/>
  </cols>
  <sheetData>
    <row r="1" spans="1:18">
      <c r="A1" s="13"/>
      <c r="B1" s="13"/>
      <c r="C1" s="2"/>
      <c r="D1" s="2"/>
      <c r="E1" s="2"/>
      <c r="F1" s="2"/>
      <c r="G1" s="2"/>
      <c r="H1" s="2"/>
      <c r="I1" s="2"/>
      <c r="J1" s="2"/>
      <c r="K1" s="2"/>
      <c r="L1" s="2"/>
      <c r="M1" s="2"/>
      <c r="N1" s="2"/>
      <c r="O1" s="2"/>
      <c r="P1" s="2"/>
      <c r="Q1" s="2"/>
      <c r="R1" s="2"/>
    </row>
    <row r="2" spans="1:18" ht="72.599999999999994">
      <c r="A2" s="7"/>
      <c r="B2" s="7"/>
      <c r="C2" s="8" t="s">
        <v>64</v>
      </c>
      <c r="D2" s="8" t="s">
        <v>65</v>
      </c>
      <c r="E2" s="8" t="s">
        <v>66</v>
      </c>
      <c r="F2" s="8" t="s">
        <v>67</v>
      </c>
      <c r="G2" s="8" t="s">
        <v>68</v>
      </c>
      <c r="H2" s="8" t="s">
        <v>69</v>
      </c>
      <c r="I2" s="8" t="s">
        <v>70</v>
      </c>
      <c r="J2" s="8" t="s">
        <v>71</v>
      </c>
      <c r="K2" s="8" t="s">
        <v>72</v>
      </c>
      <c r="L2" s="8" t="s">
        <v>73</v>
      </c>
      <c r="M2" s="8" t="s">
        <v>74</v>
      </c>
      <c r="N2" s="8" t="s">
        <v>75</v>
      </c>
      <c r="O2" s="8" t="s">
        <v>76</v>
      </c>
      <c r="P2" s="8" t="s">
        <v>77</v>
      </c>
      <c r="Q2" s="8" t="s">
        <v>80</v>
      </c>
      <c r="R2" s="8" t="s">
        <v>82</v>
      </c>
    </row>
    <row r="3" spans="1:18">
      <c r="A3" s="2"/>
      <c r="B3" s="4" t="s">
        <v>92</v>
      </c>
      <c r="C3" s="2">
        <v>1000</v>
      </c>
      <c r="D3" s="2">
        <v>1200</v>
      </c>
      <c r="E3" s="2">
        <v>500</v>
      </c>
      <c r="F3" s="2">
        <v>1000</v>
      </c>
      <c r="G3" s="2">
        <v>4000</v>
      </c>
      <c r="H3" s="2">
        <v>500</v>
      </c>
      <c r="I3" s="2">
        <v>500</v>
      </c>
      <c r="J3" s="2">
        <v>500</v>
      </c>
      <c r="K3" s="2">
        <v>1000</v>
      </c>
      <c r="L3" s="2">
        <v>2000</v>
      </c>
      <c r="M3" s="2">
        <v>1500</v>
      </c>
      <c r="N3" s="2">
        <v>5000</v>
      </c>
      <c r="O3" s="2">
        <v>1000</v>
      </c>
      <c r="P3" s="2">
        <v>1000</v>
      </c>
      <c r="Q3" s="2">
        <v>1000</v>
      </c>
      <c r="R3" s="2">
        <v>1000</v>
      </c>
    </row>
    <row r="4" spans="1:18">
      <c r="A4" s="2"/>
      <c r="B4" s="4" t="s">
        <v>93</v>
      </c>
      <c r="C4" s="2">
        <v>1.01</v>
      </c>
      <c r="D4" s="2">
        <v>1</v>
      </c>
      <c r="E4" s="2">
        <v>1</v>
      </c>
      <c r="F4" s="2">
        <v>1.01</v>
      </c>
      <c r="G4" s="2">
        <v>1.01</v>
      </c>
      <c r="H4" s="2">
        <v>1.01</v>
      </c>
      <c r="I4" s="2">
        <v>1.01</v>
      </c>
      <c r="J4" s="2">
        <v>1.01</v>
      </c>
      <c r="K4" s="2">
        <v>1.01</v>
      </c>
      <c r="L4" s="2">
        <v>1.01</v>
      </c>
      <c r="M4" s="2">
        <v>1.01</v>
      </c>
      <c r="N4" s="2">
        <v>1.01</v>
      </c>
      <c r="O4" s="2">
        <v>0.95</v>
      </c>
      <c r="P4" s="2">
        <v>0.95</v>
      </c>
      <c r="Q4" s="2">
        <v>0.95</v>
      </c>
      <c r="R4" s="2">
        <v>0.95</v>
      </c>
    </row>
    <row r="5" spans="1:18">
      <c r="A5" s="2"/>
      <c r="B5" s="4" t="s">
        <v>94</v>
      </c>
      <c r="C5" s="2">
        <v>0.95</v>
      </c>
      <c r="D5" s="2">
        <v>0.95</v>
      </c>
      <c r="E5" s="2">
        <v>0.95</v>
      </c>
      <c r="F5" s="2">
        <v>0.95</v>
      </c>
      <c r="G5" s="2">
        <v>0.95</v>
      </c>
      <c r="H5" s="2">
        <v>1.05</v>
      </c>
      <c r="I5" s="2">
        <v>1.05</v>
      </c>
      <c r="J5" s="2">
        <v>1.05</v>
      </c>
      <c r="K5" s="2">
        <v>0.95</v>
      </c>
      <c r="L5" s="2">
        <v>0.95</v>
      </c>
      <c r="M5" s="2">
        <v>0.95</v>
      </c>
      <c r="N5" s="2">
        <v>1.05</v>
      </c>
      <c r="O5" s="2">
        <v>1.05</v>
      </c>
      <c r="P5" s="2">
        <v>1.05</v>
      </c>
      <c r="Q5" s="2">
        <v>0.95</v>
      </c>
      <c r="R5" s="2">
        <v>0.95</v>
      </c>
    </row>
    <row r="6" spans="1:18">
      <c r="A6" s="2"/>
      <c r="B6" s="4" t="s">
        <v>95</v>
      </c>
      <c r="C6" s="2">
        <v>0.9</v>
      </c>
      <c r="D6" s="2">
        <v>0.9</v>
      </c>
      <c r="E6" s="2">
        <v>0.9</v>
      </c>
      <c r="F6" s="2">
        <v>0.9</v>
      </c>
      <c r="G6" s="2">
        <v>0.9</v>
      </c>
      <c r="H6" s="2">
        <v>0.9</v>
      </c>
      <c r="I6" s="2">
        <v>0.9</v>
      </c>
      <c r="J6" s="2">
        <v>0.9</v>
      </c>
      <c r="K6" s="2">
        <v>0.9</v>
      </c>
      <c r="L6" s="2">
        <v>0.9</v>
      </c>
      <c r="M6" s="2">
        <v>1.05</v>
      </c>
      <c r="N6" s="2">
        <v>1.05</v>
      </c>
      <c r="O6" s="2">
        <v>1.05</v>
      </c>
      <c r="P6" s="2">
        <v>1.05</v>
      </c>
      <c r="Q6" s="2">
        <v>1.05</v>
      </c>
      <c r="R6" s="2">
        <v>1.05</v>
      </c>
    </row>
    <row r="7" spans="1:18">
      <c r="A7" s="2"/>
      <c r="B7" s="4" t="s">
        <v>96</v>
      </c>
      <c r="C7" s="2">
        <v>1.04</v>
      </c>
      <c r="D7" s="2">
        <v>1</v>
      </c>
      <c r="E7" s="2">
        <v>1.04</v>
      </c>
      <c r="F7" s="2">
        <v>1.04</v>
      </c>
      <c r="G7" s="2">
        <v>1.04</v>
      </c>
      <c r="H7" s="2">
        <v>0.95</v>
      </c>
      <c r="I7" s="2">
        <v>0.95</v>
      </c>
      <c r="J7" s="2">
        <v>0.95</v>
      </c>
      <c r="K7" s="2">
        <v>0.95</v>
      </c>
      <c r="L7" s="2">
        <v>0.95</v>
      </c>
      <c r="M7" s="2">
        <v>0.95</v>
      </c>
      <c r="N7" s="2">
        <v>0.95</v>
      </c>
      <c r="O7" s="2">
        <v>0.95</v>
      </c>
      <c r="P7" s="2">
        <v>1.04</v>
      </c>
      <c r="Q7" s="2">
        <v>1.04</v>
      </c>
      <c r="R7" s="2">
        <v>1.04</v>
      </c>
    </row>
    <row r="8" spans="1:18">
      <c r="A8" s="2"/>
      <c r="B8" s="4" t="s">
        <v>97</v>
      </c>
      <c r="C8" s="2">
        <v>1.05</v>
      </c>
      <c r="D8" s="2">
        <v>2</v>
      </c>
      <c r="E8" s="2">
        <v>1.05</v>
      </c>
      <c r="F8" s="2">
        <v>1.05</v>
      </c>
      <c r="G8" s="2">
        <v>1.05</v>
      </c>
      <c r="H8" s="2">
        <v>1.05</v>
      </c>
      <c r="I8" s="2">
        <v>1.05</v>
      </c>
      <c r="J8" s="2">
        <v>1.05</v>
      </c>
      <c r="K8" s="2">
        <v>1.05</v>
      </c>
      <c r="L8" s="2">
        <v>1.05</v>
      </c>
      <c r="M8" s="2">
        <v>1.05</v>
      </c>
      <c r="N8" s="2">
        <v>1.05</v>
      </c>
      <c r="O8" s="2">
        <v>1.05</v>
      </c>
      <c r="P8" s="2">
        <v>1.05</v>
      </c>
      <c r="Q8" s="2">
        <v>1.05</v>
      </c>
      <c r="R8" s="2">
        <v>1.05</v>
      </c>
    </row>
    <row r="9" spans="1:18">
      <c r="A9" s="2"/>
      <c r="B9" s="4" t="s">
        <v>98</v>
      </c>
      <c r="C9" s="2">
        <v>1.06</v>
      </c>
      <c r="D9" s="2">
        <v>1.06</v>
      </c>
      <c r="E9" s="2">
        <v>1.06</v>
      </c>
      <c r="F9" s="2">
        <v>1.06</v>
      </c>
      <c r="G9" s="2">
        <v>1.06</v>
      </c>
      <c r="H9" s="2">
        <v>1.05</v>
      </c>
      <c r="I9" s="2">
        <v>1.05</v>
      </c>
      <c r="J9" s="2">
        <v>1.05</v>
      </c>
      <c r="K9" s="2">
        <v>1.04</v>
      </c>
      <c r="L9" s="2">
        <v>1.04</v>
      </c>
      <c r="M9" s="2">
        <v>1.04</v>
      </c>
      <c r="N9" s="2">
        <v>1.06</v>
      </c>
      <c r="O9" s="2">
        <v>0.95</v>
      </c>
      <c r="P9" s="2">
        <v>0.95</v>
      </c>
      <c r="Q9" s="2">
        <v>0.95</v>
      </c>
      <c r="R9" s="2">
        <v>0.95</v>
      </c>
    </row>
    <row r="10" spans="1:18">
      <c r="A10" s="2"/>
      <c r="B10" s="4" t="s">
        <v>99</v>
      </c>
      <c r="C10" s="2">
        <v>1.1000000000000001</v>
      </c>
      <c r="D10" s="2">
        <v>1.1000000000000001</v>
      </c>
      <c r="E10" s="2">
        <v>1.1000000000000001</v>
      </c>
      <c r="F10" s="2">
        <v>0.95</v>
      </c>
      <c r="G10" s="2">
        <v>0.95</v>
      </c>
      <c r="H10" s="2">
        <v>0.95</v>
      </c>
      <c r="I10" s="2">
        <v>0.95</v>
      </c>
      <c r="J10" s="2">
        <v>1.1000000000000001</v>
      </c>
      <c r="K10" s="2">
        <v>1.05</v>
      </c>
      <c r="L10" s="2">
        <v>1.05</v>
      </c>
      <c r="M10" s="2">
        <v>1.05</v>
      </c>
      <c r="N10" s="2">
        <v>1.1000000000000001</v>
      </c>
      <c r="O10" s="2">
        <v>1.1000000000000001</v>
      </c>
      <c r="P10" s="2">
        <v>1.1000000000000001</v>
      </c>
      <c r="Q10" s="2">
        <v>1.1000000000000001</v>
      </c>
      <c r="R10" s="2">
        <v>1.1000000000000001</v>
      </c>
    </row>
    <row r="11" spans="1:18">
      <c r="A11" s="2"/>
      <c r="B11" s="4" t="s">
        <v>100</v>
      </c>
      <c r="C11" s="2">
        <v>0.85</v>
      </c>
      <c r="D11" s="2">
        <v>0.85</v>
      </c>
      <c r="E11" s="2">
        <v>0.85</v>
      </c>
      <c r="F11" s="2">
        <v>0.85</v>
      </c>
      <c r="G11" s="2">
        <v>0.85</v>
      </c>
      <c r="H11" s="2">
        <v>0.85</v>
      </c>
      <c r="I11" s="2">
        <v>0.85</v>
      </c>
      <c r="J11" s="2">
        <v>1.04</v>
      </c>
      <c r="K11" s="2">
        <v>1.04</v>
      </c>
      <c r="L11" s="2">
        <v>1.04</v>
      </c>
      <c r="M11" s="2">
        <v>0.85</v>
      </c>
      <c r="N11" s="2">
        <v>0.85</v>
      </c>
      <c r="O11" s="2">
        <v>0.85</v>
      </c>
      <c r="P11" s="2">
        <v>0.85</v>
      </c>
      <c r="Q11" s="2">
        <v>0.85</v>
      </c>
      <c r="R11" s="2">
        <v>0.85</v>
      </c>
    </row>
    <row r="12" spans="1:18">
      <c r="A12" s="2"/>
      <c r="B12" s="4" t="s">
        <v>101</v>
      </c>
      <c r="C12" s="2">
        <v>1.0900000000000001</v>
      </c>
      <c r="D12" s="2">
        <v>1</v>
      </c>
      <c r="E12" s="2">
        <v>1.0900000000000001</v>
      </c>
      <c r="F12" s="2">
        <v>1.0900000000000001</v>
      </c>
      <c r="G12" s="2">
        <v>1.0900000000000001</v>
      </c>
      <c r="H12" s="2">
        <v>1.0900000000000001</v>
      </c>
      <c r="I12" s="2">
        <v>1.0900000000000001</v>
      </c>
      <c r="J12" s="2">
        <v>1.0900000000000001</v>
      </c>
      <c r="K12" s="2">
        <v>1.0900000000000001</v>
      </c>
      <c r="L12" s="2">
        <v>1.0900000000000001</v>
      </c>
      <c r="M12" s="2">
        <v>0.95</v>
      </c>
      <c r="N12" s="2">
        <v>0.95</v>
      </c>
      <c r="O12" s="2">
        <v>0.95</v>
      </c>
      <c r="P12" s="2">
        <v>0.95</v>
      </c>
      <c r="Q12" s="2">
        <v>0.95</v>
      </c>
      <c r="R12" s="2">
        <v>0.95</v>
      </c>
    </row>
    <row r="13" spans="1:18">
      <c r="A13" s="2"/>
      <c r="B13" s="4" t="s">
        <v>102</v>
      </c>
      <c r="C13" s="2">
        <v>1.01</v>
      </c>
      <c r="D13" s="2">
        <v>1.01</v>
      </c>
      <c r="E13" s="2">
        <v>1.01</v>
      </c>
      <c r="F13" s="2">
        <v>1.05</v>
      </c>
      <c r="G13" s="2">
        <v>1.05</v>
      </c>
      <c r="H13" s="2">
        <v>1.05</v>
      </c>
      <c r="I13" s="2">
        <v>1.01</v>
      </c>
      <c r="J13" s="2">
        <v>1.01</v>
      </c>
      <c r="K13" s="2">
        <v>0.95</v>
      </c>
      <c r="L13" s="2">
        <v>0.95</v>
      </c>
      <c r="M13" s="2">
        <v>0.95</v>
      </c>
      <c r="N13" s="2">
        <v>0.95</v>
      </c>
      <c r="O13" s="2">
        <v>0.95</v>
      </c>
      <c r="P13" s="2">
        <v>0.95</v>
      </c>
      <c r="Q13" s="2">
        <v>0.95</v>
      </c>
      <c r="R13" s="2">
        <v>0.95</v>
      </c>
    </row>
    <row r="14" spans="1:18">
      <c r="A14" s="13"/>
      <c r="B14" s="13"/>
      <c r="C14" s="2"/>
      <c r="D14" s="2"/>
      <c r="E14" s="2"/>
      <c r="F14" s="2"/>
      <c r="G14" s="2"/>
      <c r="H14" s="2"/>
      <c r="I14" s="2"/>
      <c r="J14" s="2"/>
      <c r="K14" s="2"/>
      <c r="L14" s="2"/>
      <c r="M14" s="2"/>
      <c r="N14" s="2"/>
      <c r="O14" s="2"/>
      <c r="P14" s="2"/>
      <c r="Q14" s="2"/>
      <c r="R14" s="2"/>
    </row>
    <row r="15" spans="1:18">
      <c r="A15" s="2"/>
      <c r="B15" s="9" t="s">
        <v>103</v>
      </c>
      <c r="C15" s="11">
        <v>1029</v>
      </c>
      <c r="D15" s="11">
        <v>2054</v>
      </c>
      <c r="E15" s="10">
        <v>509</v>
      </c>
      <c r="F15" s="10">
        <v>924</v>
      </c>
      <c r="G15" s="11">
        <v>3695</v>
      </c>
      <c r="H15" s="10">
        <v>462</v>
      </c>
      <c r="I15" s="10">
        <v>444</v>
      </c>
      <c r="J15" s="10">
        <v>630</v>
      </c>
      <c r="K15" s="11">
        <v>1013</v>
      </c>
      <c r="L15" s="11">
        <v>2026</v>
      </c>
      <c r="M15" s="11">
        <v>1263</v>
      </c>
      <c r="N15" s="11">
        <v>4968</v>
      </c>
      <c r="O15" s="10">
        <v>838</v>
      </c>
      <c r="P15" s="10">
        <v>917</v>
      </c>
      <c r="Q15" s="10">
        <v>830</v>
      </c>
      <c r="R15" s="10">
        <v>830</v>
      </c>
    </row>
    <row r="16" spans="1:18">
      <c r="A16" s="13"/>
      <c r="B16" s="13"/>
      <c r="C16" s="2"/>
      <c r="D16" s="2"/>
      <c r="E16" s="2"/>
      <c r="F16" s="2"/>
      <c r="G16" s="2"/>
      <c r="H16" s="2"/>
      <c r="I16" s="2"/>
      <c r="J16" s="2"/>
      <c r="K16" s="2"/>
      <c r="L16" s="2"/>
      <c r="M16" s="2"/>
      <c r="N16" s="2"/>
      <c r="O16" s="2"/>
      <c r="P16" s="2"/>
      <c r="Q16" s="2"/>
      <c r="R16" s="2"/>
    </row>
    <row r="17" spans="1:18">
      <c r="A17" s="2"/>
      <c r="B17" s="4" t="s">
        <v>104</v>
      </c>
      <c r="C17" s="2">
        <v>0.92</v>
      </c>
      <c r="D17" s="2">
        <v>0.92</v>
      </c>
      <c r="E17" s="2">
        <v>0.92</v>
      </c>
      <c r="F17" s="2">
        <v>0.92</v>
      </c>
      <c r="G17" s="2">
        <v>0.92</v>
      </c>
      <c r="H17" s="2">
        <v>0.92</v>
      </c>
      <c r="I17" s="2">
        <v>0.92</v>
      </c>
      <c r="J17" s="2">
        <v>0.92</v>
      </c>
      <c r="K17" s="2">
        <v>0.92</v>
      </c>
      <c r="L17" s="2">
        <v>0.92</v>
      </c>
      <c r="M17" s="2">
        <v>0.92</v>
      </c>
      <c r="N17" s="2">
        <v>1</v>
      </c>
      <c r="O17" s="2">
        <v>1</v>
      </c>
      <c r="P17" s="2">
        <v>1</v>
      </c>
      <c r="Q17" s="2">
        <v>1</v>
      </c>
      <c r="R17" s="2">
        <v>1</v>
      </c>
    </row>
    <row r="18" spans="1:18">
      <c r="A18" s="13"/>
      <c r="B18" s="13"/>
      <c r="C18" s="2"/>
      <c r="D18" s="2"/>
      <c r="E18" s="2"/>
      <c r="F18" s="2"/>
      <c r="G18" s="2"/>
      <c r="H18" s="2"/>
      <c r="I18" s="2"/>
      <c r="J18" s="2"/>
      <c r="K18" s="2"/>
      <c r="L18" s="2"/>
      <c r="M18" s="2"/>
      <c r="N18" s="2"/>
      <c r="O18" s="2"/>
      <c r="P18" s="2"/>
      <c r="Q18" s="2"/>
      <c r="R18" s="2"/>
    </row>
    <row r="19" spans="1:18">
      <c r="A19" s="2"/>
      <c r="B19" s="9" t="s">
        <v>105</v>
      </c>
      <c r="C19" s="12">
        <f>C15*C17</f>
        <v>946.68000000000006</v>
      </c>
      <c r="D19" s="11">
        <f t="shared" ref="D19:R19" si="0">D15*D17</f>
        <v>1889.68</v>
      </c>
      <c r="E19" s="10">
        <f t="shared" si="0"/>
        <v>468.28000000000003</v>
      </c>
      <c r="F19" s="10">
        <f t="shared" si="0"/>
        <v>850.08</v>
      </c>
      <c r="G19" s="11">
        <f t="shared" si="0"/>
        <v>3399.4</v>
      </c>
      <c r="H19" s="10">
        <f t="shared" si="0"/>
        <v>425.04</v>
      </c>
      <c r="I19" s="10">
        <f t="shared" si="0"/>
        <v>408.48</v>
      </c>
      <c r="J19" s="10">
        <f t="shared" si="0"/>
        <v>579.6</v>
      </c>
      <c r="K19" s="10">
        <f t="shared" si="0"/>
        <v>931.96</v>
      </c>
      <c r="L19" s="11">
        <f t="shared" si="0"/>
        <v>1863.92</v>
      </c>
      <c r="M19" s="11">
        <f t="shared" si="0"/>
        <v>1161.96</v>
      </c>
      <c r="N19" s="11">
        <f t="shared" si="0"/>
        <v>4968</v>
      </c>
      <c r="O19" s="10">
        <f t="shared" si="0"/>
        <v>838</v>
      </c>
      <c r="P19" s="10">
        <f t="shared" si="0"/>
        <v>917</v>
      </c>
      <c r="Q19" s="10">
        <f t="shared" si="0"/>
        <v>830</v>
      </c>
      <c r="R19" s="10">
        <f t="shared" si="0"/>
        <v>830</v>
      </c>
    </row>
    <row r="20" spans="1:18">
      <c r="A20" s="13"/>
      <c r="B20" s="13"/>
      <c r="C20" s="2"/>
      <c r="D20" s="2"/>
      <c r="E20" s="2"/>
      <c r="F20" s="2"/>
      <c r="G20" s="2"/>
      <c r="H20" s="2"/>
      <c r="I20" s="2"/>
      <c r="J20" s="2"/>
      <c r="K20" s="2"/>
      <c r="L20" s="2"/>
      <c r="M20" s="2"/>
      <c r="N20" s="2"/>
      <c r="O20" s="2"/>
      <c r="P20" s="2"/>
      <c r="Q20" s="2"/>
      <c r="R20" s="2"/>
    </row>
    <row r="21" spans="1:18">
      <c r="A21" s="13"/>
      <c r="B21" s="13"/>
      <c r="C21" s="2"/>
      <c r="D21" s="2"/>
      <c r="E21" s="2"/>
      <c r="F21" s="2"/>
      <c r="G21" s="2"/>
      <c r="H21" s="2"/>
      <c r="I21" s="2"/>
      <c r="J21" s="2"/>
      <c r="K21" s="2"/>
      <c r="L21" s="2"/>
      <c r="M21" s="2"/>
      <c r="N21" s="2"/>
      <c r="O21" s="2"/>
      <c r="P21" s="2"/>
      <c r="Q21" s="2"/>
      <c r="R21" s="2"/>
    </row>
    <row r="22" spans="1:18">
      <c r="A22" s="13"/>
      <c r="B22" s="13"/>
      <c r="C22" s="2"/>
      <c r="D22" s="2"/>
      <c r="E22" s="2"/>
      <c r="F22" s="2"/>
      <c r="G22" s="2"/>
      <c r="H22" s="2"/>
      <c r="I22" s="2"/>
      <c r="J22" s="2"/>
      <c r="K22" s="2"/>
      <c r="L22" s="2"/>
      <c r="M22" s="2"/>
      <c r="N22" s="2"/>
      <c r="O22" s="2"/>
      <c r="P22" s="2"/>
      <c r="Q22" s="2"/>
      <c r="R22" s="2"/>
    </row>
    <row r="23" spans="1:18">
      <c r="A23" s="13"/>
      <c r="B23" s="13"/>
      <c r="C23" s="2"/>
      <c r="D23" s="2"/>
      <c r="E23" s="2"/>
      <c r="F23" s="2"/>
      <c r="G23" s="2"/>
      <c r="H23" s="2"/>
      <c r="I23" s="2"/>
      <c r="J23" s="2"/>
      <c r="K23" s="2"/>
      <c r="L23" s="2"/>
      <c r="M23" s="2"/>
      <c r="N23" s="2"/>
      <c r="O23" s="2"/>
      <c r="P23" s="2"/>
      <c r="Q23" s="2"/>
      <c r="R23" s="2"/>
    </row>
    <row r="24" spans="1:18">
      <c r="A24" s="2"/>
      <c r="B24" s="9" t="s">
        <v>106</v>
      </c>
      <c r="C24" s="11">
        <v>21306</v>
      </c>
      <c r="D24" s="2"/>
      <c r="E24" s="2"/>
      <c r="F24" s="2"/>
      <c r="G24" s="2"/>
      <c r="H24" s="2"/>
      <c r="I24" s="2"/>
      <c r="J24" s="2"/>
      <c r="K24" s="2"/>
      <c r="L24" s="2"/>
      <c r="M24" s="2"/>
      <c r="N24" s="2"/>
      <c r="O24" s="2"/>
      <c r="P24" s="2"/>
      <c r="Q24" s="2"/>
      <c r="R24" s="2"/>
    </row>
  </sheetData>
  <mergeCells count="8">
    <mergeCell ref="A22:B22"/>
    <mergeCell ref="A23:B23"/>
    <mergeCell ref="A1:B1"/>
    <mergeCell ref="A14:B14"/>
    <mergeCell ref="A16:B16"/>
    <mergeCell ref="A18:B18"/>
    <mergeCell ref="A20:B20"/>
    <mergeCell ref="A21:B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B5CCD-798F-46FF-BF30-35D67CB62DBA}">
  <dimension ref="A1"/>
  <sheetViews>
    <sheetView workbookViewId="0"/>
  </sheetViews>
  <sheetFormatPr defaultRowHeight="14.4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47A2F-4304-4D9B-9924-2021D493CFF3}">
  <dimension ref="B4:B14"/>
  <sheetViews>
    <sheetView topLeftCell="A2" workbookViewId="0">
      <selection activeCell="E13" sqref="E13"/>
    </sheetView>
  </sheetViews>
  <sheetFormatPr defaultRowHeight="14.45"/>
  <sheetData>
    <row r="4" spans="2:2">
      <c r="B4" t="s">
        <v>107</v>
      </c>
    </row>
    <row r="6" spans="2:2">
      <c r="B6" t="s">
        <v>108</v>
      </c>
    </row>
    <row r="8" spans="2:2">
      <c r="B8" t="s">
        <v>109</v>
      </c>
    </row>
    <row r="10" spans="2:2">
      <c r="B10" t="s">
        <v>110</v>
      </c>
    </row>
    <row r="12" spans="2:2">
      <c r="B12" t="s">
        <v>111</v>
      </c>
    </row>
    <row r="14" spans="2:2">
      <c r="B14" t="s">
        <v>112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FC12FB1F2E9314A91A08CCECF9BFDAA" ma:contentTypeVersion="3" ma:contentTypeDescription="Create a new document." ma:contentTypeScope="" ma:versionID="413c420c1800241f2cee950b4ae454dd">
  <xsd:schema xmlns:xsd="http://www.w3.org/2001/XMLSchema" xmlns:xs="http://www.w3.org/2001/XMLSchema" xmlns:p="http://schemas.microsoft.com/office/2006/metadata/properties" xmlns:ns2="aa069a30-f8af-4d65-b4a7-b92186a56167" targetNamespace="http://schemas.microsoft.com/office/2006/metadata/properties" ma:root="true" ma:fieldsID="d5d777d8bbe53a2829c1324784bcb557" ns2:_="">
    <xsd:import namespace="aa069a30-f8af-4d65-b4a7-b92186a5616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069a30-f8af-4d65-b4a7-b92186a561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CD687CB-1D0A-4143-8EA0-FE0618FE8273}"/>
</file>

<file path=customXml/itemProps2.xml><?xml version="1.0" encoding="utf-8"?>
<ds:datastoreItem xmlns:ds="http://schemas.openxmlformats.org/officeDocument/2006/customXml" ds:itemID="{2685BF4A-8A87-4981-844B-DD8CA5235097}"/>
</file>

<file path=customXml/itemProps3.xml><?xml version="1.0" encoding="utf-8"?>
<ds:datastoreItem xmlns:ds="http://schemas.openxmlformats.org/officeDocument/2006/customXml" ds:itemID="{3F9FF5C9-EBEF-4276-B1D0-3BD30BCFBEC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2026-05-29T06:20:54Z</dcterms:created>
  <dcterms:modified xsi:type="dcterms:W3CDTF">2026-06-09T08:20:43Z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0x010100DFC12FB1F2E9314A91A08CCECF9BFDAA</vt:lpwstr>
  </property>
</Properties>
</file>